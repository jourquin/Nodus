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c3dd56fc8b46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ckage audit" sheetId="1" r:id="R193c9ffdbe4c4768"/>
    <x:sheet xmlns:r="http://schemas.openxmlformats.org/officeDocument/2006/relationships" name="Source map" sheetId="2" r:id="R79110c1cd7ff4b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1"/>
      <x:color rgb="FF25364A"/>
      <x:name val="Arial"/>
    </x:font>
    <x:font>
      <x:b/>
      <x:sz val="16"/>
      <x:color rgb="FF24476B"/>
      <x:name val="Arial"/>
    </x:font>
    <x:font>
      <x:i/>
      <x:sz val="11"/>
      <x:color rgb="FF25364A"/>
      <x:name val="Arial"/>
    </x:font>
    <x:font>
      <x:b/>
      <x:sz val="11"/>
      <x:color rgb="FF25364A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476B"/>
      </x:patternFill>
    </x:fill>
    <x:fill>
      <x:patternFill patternType="solid">
        <x:fgColor rgb="FFF1F5F9"/>
      </x:patternFill>
    </x:fill>
    <x:fill>
      <x:patternFill patternType="solid">
        <x:fgColor rgb="FFFFFFFF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horizontal="right" vertical="top" wrapText="1"/>
    </x:xf>
    <x:xf numFmtId="200" fontId="1" fillId="4" borderId="0" xfId="0" applyNumberFormat="1" applyFont="1" applyFill="1" applyBorder="1" applyAlignment="1">
      <x:alignment horizontal="right" vertical="top" wrapText="1"/>
    </x:xf>
  </x:cellXfs>
  <x:cellStyles count="1">
    <x:cellStyle name="Normal" xfId="0"/>
  </x:cellStyles>
  <x:dxfs count="2">
    <x:dxf>
      <x:font>
        <x:b/>
        <x:color rgb="FF785500"/>
      </x:font>
      <x:fill>
        <x:patternFill patternType="solid">
          <x:bgColor rgb="FFFFF0C2"/>
        </x:patternFill>
      </x:fill>
    </x:dxf>
    <x:dxf>
      <x:font>
        <x:b/>
        <x:color rgb="FF9C2020"/>
      </x:font>
      <x:fill>
        <x:patternFill patternType="solid">
          <x:bgColor rgb="FFFBE1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52670ecb0d496d" /><Relationship Type="http://schemas.openxmlformats.org/officeDocument/2006/relationships/theme" Target="/xl/theme/theme1.xml" Id="Rfffef600629947d6" /><Relationship Type="http://schemas.openxmlformats.org/officeDocument/2006/relationships/sharedStrings" Target="/xl/sharedStrings.xml" Id="Rb25acdbdb1e341c4" /><Relationship Type="http://schemas.openxmlformats.org/officeDocument/2006/relationships/worksheet" Target="/xl/worksheets/sheet1.xml" Id="R193c9ffdbe4c4768" /><Relationship Type="http://schemas.openxmlformats.org/officeDocument/2006/relationships/worksheet" Target="/xl/worksheets/sheet2.xml" Id="R79110c1cd7ff4b7e" /></Relationships>
</file>

<file path=xl/tables/table1.xml><?xml version="1.0" encoding="utf-8"?>
<x:table xmlns:x="http://schemas.openxmlformats.org/spreadsheetml/2006/main" id="1" name="PackageAudit" displayName="PackageAudit" ref="A7:F58" headerRowCount="1" totalsRowCount="0" totalsRowShown="0">
  <x:autoFilter ref="A7:F58"/>
  <x:tableColumns count="6">
    <x:tableColumn id="1" name="Package"/>
    <x:tableColumn id="2" name="Status"/>
    <x:tableColumn id="3" name="Overview sentence"/>
    <x:tableColumn id="4" name="Review basis / limitations"/>
    <x:tableColumn id="5" name="Follow-up"/>
    <x:tableColumn id="6" name="API publication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PackageSources" displayName="PackageSources" ref="A8:E59" headerRowCount="1" totalsRowCount="0" totalsRowShown="0">
  <x:autoFilter ref="A8:E59"/>
  <x:tableColumns count="5">
    <x:tableColumn id="1" name="Package"/>
    <x:tableColumn id="2" name="Documentation file"/>
    <x:tableColumn id="3" name="Key classes / methods reviewed"/>
    <x:tableColumn id="4" name="Change"/>
    <x:tableColumn id="5" name="Java files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0720f810504d4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77f92deb0ac4b6a" /></Relationships>
</file>

<file path=xl/worksheets/sheet1.xml><?xml version="1.0" encoding="utf-8"?>
<x:worksheet xmlns:x="http://schemas.openxmlformats.org/spreadsheetml/2006/main">
  <x:sheetPr>
    <x:tabColor rgb="FF24476B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46.11000061035156" hidden="0" customWidth="1"/>
    <x:col min="2" max="2" width="15.5600004196167" hidden="0" customWidth="1"/>
    <x:col min="3" max="3" width="46.66999816894531" hidden="0" customWidth="1"/>
    <x:col min="4" max="4" width="54.439998626708984" hidden="0" customWidth="1"/>
    <x:col min="5" max="5" width="43.33000183105469" hidden="0" customWidth="1"/>
    <x:col min="6" max="6" width="15" hidden="0" customWidth="1"/>
  </x:cols>
  <x:sheetData>
    <x:row r="1" ht="18.75" customHeight="1">
      <x:c r="A1" s="2"/>
      <x:c r="B1" s="2"/>
      <x:c r="C1" s="2"/>
      <x:c r="D1" s="2"/>
      <x:c r="E1" s="2"/>
      <x:c r="F1" s="2"/>
    </x:row>
    <x:row r="2" ht="26.25" customHeight="1">
      <x:c r="A2" s="3" t="str">
        <x:v>Nodus 9.0 package documentation audit</x:v>
      </x:c>
      <x:c r="B2" s="2"/>
      <x:c r="C2" s="2"/>
      <x:c r="D2" s="2"/>
      <x:c r="E2" s="2"/>
      <x:c r="F2" s="2"/>
    </x:row>
    <x:row r="3" ht="18.75" customHeight="1">
      <x:c r="A3" s="4" t="str">
        <x:v>Reviewed 2026-09-30. Package descriptions only; existing class and method comments were not systematically audited.</x:v>
      </x:c>
      <x:c r="B3" s="2"/>
      <x:c r="C3" s="2"/>
      <x:c r="D3" s="2"/>
      <x:c r="E3" s="2"/>
      <x:c r="F3" s="2"/>
    </x:row>
    <x:row r="4" ht="18.75" customHeight="1">
      <x:c r="A4" s="4" t="str">
        <x:v>OK = source-supported. Unsure = source conflict to review. Unable to describe = insufficient evidence. Filter Status for follow-up.</x:v>
      </x:c>
      <x:c r="B4" s="2"/>
      <x:c r="C4" s="2"/>
      <x:c r="D4" s="2"/>
      <x:c r="E4" s="2"/>
      <x:c r="F4" s="2"/>
    </x:row>
    <x:row r="5" ht="18.75" customHeight="1">
      <x:c r="A5" s="2" t="str">
        <x:v>OK</x:v>
      </x:c>
      <x:c r="B5" s="7" t="n">
        <x:f>COUNTIFS(B8:B58,A5)</x:f>
        <x:v>50</x:v>
      </x:c>
      <x:c r="C5" s="2" t="str">
        <x:v>Unsure</x:v>
      </x:c>
      <x:c r="D5" s="7" t="n">
        <x:f>COUNTIFS(B8:B58,C5)</x:f>
        <x:v>1</x:v>
      </x:c>
      <x:c r="E5" s="2" t="str">
        <x:v>Unable to describe</x:v>
      </x:c>
      <x:c r="F5" s="7" t="n">
        <x:f>COUNTIFS(B8:B58,E5)</x:f>
        <x:v>0</x:v>
      </x:c>
    </x:row>
    <x:row r="6" ht="18.75" customHeight="1">
      <x:c r="A6" s="2" t="str">
        <x:v>Packages</x:v>
      </x:c>
      <x:c r="B6" s="7" t="n">
        <x:f>COUNTA(A8:A58)</x:f>
        <x:v>51</x:v>
      </x:c>
      <x:c r="C6" s="2" t="str">
        <x:v>Descriptions added</x:v>
      </x:c>
      <x:c r="D6" s="7" t="n">
        <x:f>COUNTIFS('Source map'!D9:D59,"Added")</x:f>
        <x:v>50</x:v>
      </x:c>
      <x:c r="E6" s="2" t="str">
        <x:v>ApiDoc / Checkstyle</x:v>
      </x:c>
      <x:c r="F6" s="2" t="str">
        <x:v>Passed</x:v>
      </x:c>
    </x:row>
    <x:row r="7" ht="22.5" customHeight="1">
      <x:c r="A7" s="11" t="str">
        <x:v>Package</x:v>
      </x:c>
      <x:c r="B7" s="12" t="str">
        <x:v>Status</x:v>
      </x:c>
      <x:c r="C7" s="12" t="str">
        <x:v>Overview sentence</x:v>
      </x:c>
      <x:c r="D7" s="12" t="str">
        <x:v>Review basis / limitations</x:v>
      </x:c>
      <x:c r="E7" s="12" t="str">
        <x:v>Follow-up</x:v>
      </x:c>
      <x:c r="F7" s="13" t="str">
        <x:v>API publication</x:v>
      </x:c>
    </x:row>
    <x:row r="8" ht="48" customHeight="1">
      <x:c r="A8" s="16" t="str">
        <x:v>com.bbn.openmap.dataAccess.shape</x:v>
      </x:c>
      <x:c r="B8" s="16" t="str">
        <x:v>OK</x:v>
      </x:c>
      <x:c r="C8" s="16" t="str">
        <x:v>DBF table models and schema editors adapted to Nodus shapefile layers.</x:v>
      </x:c>
      <x:c r="D8" s="16" t="str">
        <x:v>The two classes distinguish record editing from schema validation.</x:v>
      </x:c>
      <x:c r="E8" s="16" t="str">
        <x:v>None required.</x:v>
      </x:c>
      <x:c r="F8" s="16" t="str">
        <x:v>Published</x:v>
      </x:c>
    </x:row>
    <x:row r="9" ht="48" customHeight="1">
      <x:c r="A9" s="17" t="str">
        <x:v>com.bbn.openmap.event</x:v>
      </x:c>
      <x:c r="B9" s="17" t="str">
        <x:v>OK</x:v>
      </x:c>
      <x:c r="C9" s="17" t="str">
        <x:v>Keyboard navigation shortcuts for the Nodus map.</x:v>
      </x:c>
      <x:c r="D9" s="17" t="str">
        <x:v>Single-purpose listener; key mappings are explicit in the source.</x:v>
      </x:c>
      <x:c r="E9" s="17" t="str">
        <x:v>None required.</x:v>
      </x:c>
      <x:c r="F9" s="17" t="str">
        <x:v>Published</x:v>
      </x:c>
    </x:row>
    <x:row r="10" ht="48" customHeight="1">
      <x:c r="A10" s="16" t="str">
        <x:v>com.bbn.openmap.gui</x:v>
      </x:c>
      <x:c r="B10" s="16" t="str">
        <x:v>OK</x:v>
      </x:c>
      <x:c r="C10" s="16" t="str">
        <x:v>OpenMap navigation and layer controls adapted to Nodus projects.</x:v>
      </x:c>
      <x:c r="D10" s="16" t="str">
        <x:v>Overview covers the three UI classes and their different roles.</x:v>
      </x:c>
      <x:c r="E10" s="16" t="str">
        <x:v>None required.</x:v>
      </x:c>
      <x:c r="F10" s="16" t="str">
        <x:v>Published</x:v>
      </x:c>
    </x:row>
    <x:row r="11" ht="48" customHeight="1">
      <x:c r="A11" s="17" t="str">
        <x:v>com.bbn.openmap.gui.menu</x:v>
      </x:c>
      <x:c r="B11" s="17" t="str">
        <x:v>OK</x:v>
      </x:c>
      <x:c r="C11" s="17" t="str">
        <x:v>Map-image export menu items and image-format labels.</x:v>
      </x:c>
      <x:c r="D11" s="17" t="str">
        <x:v>Describes the local adaptations, without attributing the image encoder to Nodus.</x:v>
      </x:c>
      <x:c r="E11" s="17" t="str">
        <x:v>None required.</x:v>
      </x:c>
      <x:c r="F11" s="17" t="str">
        <x:v>Published</x:v>
      </x:c>
    </x:row>
    <x:row r="12" ht="48" customHeight="1">
      <x:c r="A12" s="16" t="str">
        <x:v>com.bbn.openmap.layer</x:v>
      </x:c>
      <x:c r="B12" s="16" t="str">
        <x:v>OK</x:v>
      </x:c>
      <x:c r="C12" s="16" t="str">
        <x:v>Map annotations, scale bars, compass graphics and supplementary images.</x:v>
      </x:c>
      <x:c r="D12" s="16" t="str">
        <x:v>New overview avoids a malformed sentence in the existing ScaleAndCompassLayer comment.</x:v>
      </x:c>
      <x:c r="E12" s="16" t="str">
        <x:v>None required.</x:v>
      </x:c>
      <x:c r="F12" s="16" t="str">
        <x:v>Published</x:v>
      </x:c>
    </x:row>
    <x:row r="13" ht="48" customHeight="1">
      <x:c r="A13" s="17" t="str">
        <x:v>com.bbn.openmap.layer.drawing</x:v>
      </x:c>
      <x:c r="B13" s="17" t="str">
        <x:v>OK</x:v>
      </x:c>
      <x:c r="C13" s="17" t="str">
        <x:v>Internal drawing-layer type used by the Nodus map editor.</x:v>
      </x:c>
      <x:c r="D13" s="17" t="str">
        <x:v>The class is a marker for layer-panel behavior, not a separate geometry editor.</x:v>
      </x:c>
      <x:c r="E13" s="17" t="str">
        <x:v>None required.</x:v>
      </x:c>
      <x:c r="F13" s="17" t="str">
        <x:v>Published</x:v>
      </x:c>
    </x:row>
    <x:row r="14" ht="48" customHeight="1">
      <x:c r="A14" s="16" t="str">
        <x:v>com.bbn.openmap.layer.highlightedarea</x:v>
      </x:c>
      <x:c r="B14" s="16" t="str">
        <x:v>OK</x:v>
      </x:c>
      <x:c r="C14" s="16" t="str">
        <x:v>A geographic rectangle for highlighting and limiting selected Nodus operations.</x:v>
      </x:c>
      <x:c r="D14" s="16" t="str">
        <x:v>Separates the displayed rectangle from callers that opt into filtering.</x:v>
      </x:c>
      <x:c r="E14" s="16" t="str">
        <x:v>None required.</x:v>
      </x:c>
      <x:c r="F14" s="16" t="str">
        <x:v>Published</x:v>
      </x:c>
    </x:row>
    <x:row r="15" ht="48" customHeight="1">
      <x:c r="A15" s="17" t="str">
        <x:v>com.bbn.openmap.layer.image</x:v>
      </x:c>
      <x:c r="B15" s="17" t="str">
        <x:v>OK</x:v>
      </x:c>
      <x:c r="C15" s="17" t="str">
        <x:v>Background map layers for remote tiles and Web Map Service imagery.</x:v>
      </x:c>
      <x:c r="D15" s="17" t="str">
        <x:v>Describes local responsibilities. Live provider availability and protocol compliance were not tested.</x:v>
      </x:c>
      <x:c r="E15" s="17" t="str">
        <x:v>None required.</x:v>
      </x:c>
      <x:c r="F15" s="17" t="str">
        <x:v>Published</x:v>
      </x:c>
    </x:row>
    <x:row r="16" ht="48" customHeight="1">
      <x:c r="A16" s="16" t="str">
        <x:v>com.bbn.openmap.layer.image.capabilities</x:v>
      </x:c>
      <x:c r="B16" s="16" t="str">
        <x:v>OK</x:v>
      </x:c>
      <x:c r="C16" s="16" t="str">
        <x:v>WMS capabilities parsing and the server/layer tree used by the imagery chooser.</x:v>
      </x:c>
      <x:c r="D16" s="16" t="str">
        <x:v>Documented the explicit parser limitation. This internal package is excluded from ApiDoc.</x:v>
      </x:c>
      <x:c r="E16" s="16" t="str">
        <x:v>None required.</x:v>
      </x:c>
      <x:c r="F16" s="16" t="str">
        <x:v>Excluded by build</x:v>
      </x:c>
    </x:row>
    <x:row r="17" ht="48" customHeight="1">
      <x:c r="A17" s="17" t="str">
        <x:v>com.bbn.openmap.layer.image.gui</x:v>
      </x:c>
      <x:c r="B17" s="17" t="str">
        <x:v>OK</x:v>
      </x:c>
      <x:c r="C17" s="17" t="str">
        <x:v>Selection of WMS background layers from a server capabilities tree.</x:v>
      </x:c>
      <x:c r="D17" s="17" t="str">
        <x:v>Single dialog; its dependency on the WMS layer and parsed tree is explicit.</x:v>
      </x:c>
      <x:c r="E17" s="17" t="str">
        <x:v>None required.</x:v>
      </x:c>
      <x:c r="F17" s="17" t="str">
        <x:v>Published</x:v>
      </x:c>
    </x:row>
    <x:row r="18" ht="48" customHeight="1">
      <x:c r="A18" s="16" t="str">
        <x:v>com.bbn.openmap.layer.location</x:v>
      </x:c>
      <x:c r="B18" s="16" t="str">
        <x:v>OK</x:v>
      </x:c>
      <x:c r="C18" s="16" t="str">
        <x:v>Labels derived from network-layer attributes or computed results.</x:v>
      </x:c>
      <x:c r="D18" s="16" t="str">
        <x:v>Overview separates per-layer label data from the combined display layer.</x:v>
      </x:c>
      <x:c r="E18" s="16" t="str">
        <x:v>None required.</x:v>
      </x:c>
      <x:c r="F18" s="16" t="str">
        <x:v>Published</x:v>
      </x:c>
    </x:row>
    <x:row r="19" ht="48" customHeight="1">
      <x:c r="A19" s="17" t="str">
        <x:v>com.bbn.openmap.layer.location.gui</x:v>
      </x:c>
      <x:c r="B19" s="17" t="str">
        <x:v>OK</x:v>
      </x:c>
      <x:c r="C19" s="17" t="str">
        <x:v>Controls for choosing and filtering network-map labels.</x:v>
      </x:c>
      <x:c r="D19" s="17" t="str">
        <x:v>Single-purpose settings dialog; described controls are present in the source.</x:v>
      </x:c>
      <x:c r="E19" s="17" t="str">
        <x:v>None required.</x:v>
      </x:c>
      <x:c r="F19" s="17" t="str">
        <x:v>Published</x:v>
      </x:c>
    </x:row>
    <x:row r="20" ht="48" customHeight="1">
      <x:c r="A20" s="16" t="str">
        <x:v>com.bbn.openmap.layer.shape</x:v>
      </x:c>
      <x:c r="B20" s="16" t="str">
        <x:v>OK</x:v>
      </x:c>
      <x:c r="C20" s="16" t="str">
        <x:v>Shapefile layers for transport-network editing, rendering and result display.</x:v>
      </x:c>
      <x:c r="D20" s="16" t="str">
        <x:v>Overview follows the layer hierarchy and keeps background boundaries distinct from network data.</x:v>
      </x:c>
      <x:c r="E20" s="16" t="str">
        <x:v>None required.</x:v>
      </x:c>
      <x:c r="F20" s="16" t="str">
        <x:v>Published</x:v>
      </x:c>
    </x:row>
    <x:row r="21" ht="48" customHeight="1">
      <x:c r="A21" s="17" t="str">
        <x:v>com.bbn.openmap.layer.shape.displayindex</x:v>
      </x:c>
      <x:c r="B21" s="17" t="str">
        <x:v>OK</x:v>
      </x:c>
      <x:c r="C21" s="17" t="str">
        <x:v>In-memory spatial indexes for selecting shapefile graphics within a map viewport.</x:v>
      </x:c>
      <x:c r="D21" s="17" t="str">
        <x:v>Factory selects the tree implementation. This internal package is excluded from ApiDoc.</x:v>
      </x:c>
      <x:c r="E21" s="17" t="str">
        <x:v>None required.</x:v>
      </x:c>
      <x:c r="F21" s="17" t="str">
        <x:v>Excluded by build</x:v>
      </x:c>
    </x:row>
    <x:row r="22" ht="48" customHeight="1">
      <x:c r="A22" s="16" t="str">
        <x:v>com.bbn.openmap.layer.shape.gui</x:v>
      </x:c>
      <x:c r="B22" s="16" t="str">
        <x:v>OK</x:v>
      </x:c>
      <x:c r="C22" s="16" t="str">
        <x:v>Dialogs for editing network attributes and inspecting virtual-network results.</x:v>
      </x:c>
      <x:c r="D22" s="16" t="str">
        <x:v>The description covers all four dialogs, including node service-stop editing.</x:v>
      </x:c>
      <x:c r="E22" s="16" t="str">
        <x:v>None required.</x:v>
      </x:c>
      <x:c r="F22" s="16" t="str">
        <x:v>Published</x:v>
      </x:c>
    </x:row>
    <x:row r="23" ht="48" customHeight="1">
      <x:c r="A23" s="17" t="str">
        <x:v>com.bbn.openmap.layer.shape.jung</x:v>
      </x:c>
      <x:c r="B23" s="17" t="str">
        <x:v>OK</x:v>
      </x:c>
      <x:c r="C23" s="17" t="str">
        <x:v>Node and edge data for graphical inspection of the virtual transport network.</x:v>
      </x:c>
      <x:c r="D23" s="17" t="str">
        <x:v>Explicitly distinguishes viewer data from the graph used for assignment.</x:v>
      </x:c>
      <x:c r="E23" s="17" t="str">
        <x:v>None required.</x:v>
      </x:c>
      <x:c r="F23" s="17" t="str">
        <x:v>Published</x:v>
      </x:c>
    </x:row>
    <x:row r="24" ht="48" customHeight="1">
      <x:c r="A24" s="16" t="str">
        <x:v>com.bbn.openmap.layer.shape.jung.gui</x:v>
      </x:c>
      <x:c r="B24" s="16" t="str">
        <x:v>OK</x:v>
      </x:c>
      <x:c r="C24" s="16" t="str">
        <x:v>JUNG-based visualization of virtual links around a real node or link.</x:v>
      </x:c>
      <x:c r="D24" s="16" t="str">
        <x:v>All three classes are presentation helpers for the virtual-network viewer.</x:v>
      </x:c>
      <x:c r="E24" s="16" t="str">
        <x:v>None required.</x:v>
      </x:c>
      <x:c r="F24" s="16" t="str">
        <x:v>Published</x:v>
      </x:c>
    </x:row>
    <x:row r="25" ht="48" customHeight="1">
      <x:c r="A25" s="17" t="str">
        <x:v>com.bbn.openmap.omGraphics</x:v>
      </x:c>
      <x:c r="B25" s="17" t="str">
        <x:v>OK</x:v>
      </x:c>
      <x:c r="C25" s="17" t="str">
        <x:v>Nodus graphic styles and scale-dependent display detail for map polylines.</x:v>
      </x:c>
      <x:c r="D25" s="17" t="str">
        <x:v>Includes the recent display-detail cache as well as the existing style holders.</x:v>
      </x:c>
      <x:c r="E25" s="17" t="str">
        <x:v>None required.</x:v>
      </x:c>
      <x:c r="F25" s="17" t="str">
        <x:v>Published</x:v>
      </x:c>
    </x:row>
    <x:row r="26" ht="48" customHeight="1">
      <x:c r="A26" s="16" t="str">
        <x:v>com.bbn.openmap.omGraphics.event</x:v>
      </x:c>
      <x:c r="B26" s="16" t="str">
        <x:v>OK</x:v>
      </x:c>
      <x:c r="C26" s="16" t="str">
        <x:v>Mouse interpretation for Nodus map graphics and tooltip visibility.</x:v>
      </x:c>
      <x:c r="D26" s="16" t="str">
        <x:v>The override is narrowly scoped to tooltip handling.</x:v>
      </x:c>
      <x:c r="E26" s="16" t="str">
        <x:v>None required.</x:v>
      </x:c>
      <x:c r="F26" s="16" t="str">
        <x:v>Published</x:v>
      </x:c>
    </x:row>
    <x:row r="27" ht="48" customHeight="1">
      <x:c r="A27" s="17" t="str">
        <x:v>com.bbn.openmap.proj</x:v>
      </x:c>
      <x:c r="B27" s="17" t="str">
        <x:v>OK</x:v>
      </x:c>
      <x:c r="C27" s="17" t="str">
        <x:v>The Equal Earth map projection and its OpenMap loader.</x:v>
      </x:c>
      <x:c r="D27" s="17" t="str">
        <x:v>Describes the implemented projection and loader without re-auditing the mathematical derivation.</x:v>
      </x:c>
      <x:c r="E27" s="17" t="str">
        <x:v>None required.</x:v>
      </x:c>
      <x:c r="F27" s="17" t="str">
        <x:v>Published</x:v>
      </x:c>
    </x:row>
    <x:row r="28" ht="48" customHeight="1">
      <x:c r="A28" s="16" t="str">
        <x:v>com.bbn.openmap.tools.drawing</x:v>
      </x:c>
      <x:c r="B28" s="16" t="str">
        <x:v>OK</x:v>
      </x:c>
      <x:c r="C28" s="16" t="str">
        <x:v>Interactive editing of transport-network nodes, links and service routes.</x:v>
      </x:c>
      <x:c r="D28" s="16" t="str">
        <x:v>Covers editor integration and internal split helpers; does not promise every edit is transactional.</x:v>
      </x:c>
      <x:c r="E28" s="16" t="str">
        <x:v>None required.</x:v>
      </x:c>
      <x:c r="F28" s="16" t="str">
        <x:v>Published</x:v>
      </x:c>
    </x:row>
    <x:row r="29" ht="48" customHeight="1">
      <x:c r="A29" s="17" t="str">
        <x:v>edu.uclouvain.core.nodus</x:v>
      </x:c>
      <x:c r="B29" s="17" t="str">
        <x:v>OK</x:v>
      </x:c>
      <x:c r="C29" s="17" t="str">
        <x:v>Application startup, project lifecycle and the main Nodus extension points.</x:v>
      </x:c>
      <x:c r="D29" s="17" t="str">
        <x:v>Overview identifies application ownership and distinguishes the two plugin extension points.</x:v>
      </x:c>
      <x:c r="E29" s="17" t="str">
        <x:v>None required.</x:v>
      </x:c>
      <x:c r="F29" s="17" t="str">
        <x:v>Published</x:v>
      </x:c>
    </x:row>
    <x:row r="30" ht="48" customHeight="1">
      <x:c r="A30" s="16" t="str">
        <x:v>edu.uclouvain.core.nodus.compute.assign</x:v>
      </x:c>
      <x:c r="B30" s="16" t="str">
        <x:v>Unsure</x:v>
      </x:c>
      <x:c r="C30" s="16" t="str">
        <x:v>Assignment algorithms and coordination of network loading, workers and results.</x:v>
      </x:c>
      <x:c r="D30" s="16" t="str">
        <x:v>Package purpose is clear. FrankWolfeAssignment still says disabled since 8.0, but AssignmentDlg exposes and constructs it.</x:v>
      </x:c>
      <x:c r="E30" s="16" t="str">
        <x:v>Confirm supported Frank-Wolfe behavior and reconcile its legacy class comment. The overview only lists implementations.</x:v>
      </x:c>
      <x:c r="F30" s="16" t="str">
        <x:v>Published</x:v>
      </x:c>
    </x:row>
    <x:row r="31" ht="48" customHeight="1">
      <x:c r="A31" s="17" t="str">
        <x:v>edu.uclouvain.core.nodus.compute.assign.gui</x:v>
      </x:c>
      <x:c r="B31" s="17" t="str">
        <x:v>OK</x:v>
      </x:c>
      <x:c r="C31" s="17" t="str">
        <x:v>Selection and launch of transport-network assignments.</x:v>
      </x:c>
      <x:c r="D31" s="17" t="str">
        <x:v>Describes the dialog workflow. The separate algorithm-support ambiguity is recorded under compute.assign.</x:v>
      </x:c>
      <x:c r="E31" s="17" t="str">
        <x:v>None required.</x:v>
      </x:c>
      <x:c r="F31" s="17" t="str">
        <x:v>Published</x:v>
      </x:c>
    </x:row>
    <x:row r="32" ht="48" customHeight="1">
      <x:c r="A32" s="16" t="str">
        <x:v>edu.uclouvain.core.nodus.compute.assign.shortestpath</x:v>
      </x:c>
      <x:c r="B32" s="16" t="str">
        <x:v>OK</x:v>
      </x:c>
      <x:c r="C32" s="16" t="str">
        <x:v>Shortest-path searches and worker-local graph structures for assignment.</x:v>
      </x:c>
      <x:c r="D32" s="16" t="str">
        <x:v>Includes worker ownership and the diagnostic-only role of reachability observation.</x:v>
      </x:c>
      <x:c r="E32" s="16" t="str">
        <x:v>None required.</x:v>
      </x:c>
      <x:c r="F32" s="16" t="str">
        <x:v>Published</x:v>
      </x:c>
    </x:row>
    <x:row r="33" ht="48" customHeight="1">
      <x:c r="A33" s="17" t="str">
        <x:v>edu.uclouvain.core.nodus.compute.assign.workers</x:v>
      </x:c>
      <x:c r="B33" s="17" t="str">
        <x:v>OK</x:v>
      </x:c>
      <x:c r="C33" s="17" t="str">
        <x:v>Queued routing jobs, path reconstruction and flow updates for assignment algorithms.</x:v>
      </x:c>
      <x:c r="D33" s="17" t="str">
        <x:v>Describes job responsibilities without treating mutable worker state as globally shareable.</x:v>
      </x:c>
      <x:c r="E33" s="17" t="str">
        <x:v>None required.</x:v>
      </x:c>
      <x:c r="F33" s="17" t="str">
        <x:v>Published</x:v>
      </x:c>
    </x:row>
    <x:row r="34" ht="48" customHeight="1">
      <x:c r="A34" s="16" t="str">
        <x:v>edu.uclouvain.core.nodus.compute.costs</x:v>
      </x:c>
      <x:c r="B34" s="16" t="str">
        <x:v>OK</x:v>
      </x:c>
      <x:c r="C34" s="16" t="str">
        <x:v>Evaluation of cost, duration and vehicle-conversion functions on virtual networks.</x:v>
      </x:c>
      <x:c r="D34" s="16" t="str">
        <x:v>Overview reflects parser contexts, expression caching and the distinct vehicle conversion step.</x:v>
      </x:c>
      <x:c r="E34" s="16" t="str">
        <x:v>None required.</x:v>
      </x:c>
      <x:c r="F34" s="16" t="str">
        <x:v>Published</x:v>
      </x:c>
    </x:row>
    <x:row r="35" ht="48" customHeight="1">
      <x:c r="A35" s="17" t="str">
        <x:v>edu.uclouvain.core.nodus.compute.modalsplit</x:v>
      </x:c>
      <x:c r="B35" s="17" t="str">
        <x:v>OK</x:v>
      </x:c>
      <x:c r="C35" s="17" t="str">
        <x:v>Modal-choice models, numerical parameter estimation and the standalone estimation dialog.</x:v>
      </x:c>
      <x:c r="D35" s="17" t="str">
        <x:v>Existing package documentation retained. It covers model formulas, availability, estimation, persistence and the separate UI workflow.</x:v>
      </x:c>
      <x:c r="E35" s="17" t="str">
        <x:v>None required.</x:v>
      </x:c>
      <x:c r="F35" s="17" t="str">
        <x:v>Published</x:v>
      </x:c>
    </x:row>
    <x:row r="36" ht="48" customHeight="1">
      <x:c r="A36" s="16" t="str">
        <x:v>edu.uclouvain.core.nodus.compute.od</x:v>
      </x:c>
      <x:c r="B36" s="16" t="str">
        <x:v>OK</x:v>
      </x:c>
      <x:c r="C36" s="16" t="str">
        <x:v>Origin-destination demand records and loading of project demand tables.</x:v>
      </x:c>
      <x:c r="D36" s="16" t="str">
        <x:v>Keeps commodity groups, OD classes and departure times distinct.</x:v>
      </x:c>
      <x:c r="E36" s="16" t="str">
        <x:v>None required.</x:v>
      </x:c>
      <x:c r="F36" s="16" t="str">
        <x:v>Published</x:v>
      </x:c>
    </x:row>
    <x:row r="37" ht="48" customHeight="1">
      <x:c r="A37" s="17" t="str">
        <x:v>edu.uclouvain.core.nodus.compute.real</x:v>
      </x:c>
      <x:c r="B37" s="17" t="str">
        <x:v>OK</x:v>
      </x:c>
      <x:c r="C37" s="17" t="str">
        <x:v>Computation and display data attached to physical network nodes and links.</x:v>
      </x:c>
      <x:c r="D37" s="17" t="str">
        <x:v>Explains the physical/virtual network distinction and common initialization path.</x:v>
      </x:c>
      <x:c r="E37" s="17" t="str">
        <x:v>None required.</x:v>
      </x:c>
      <x:c r="F37" s="17" t="str">
        <x:v>Published</x:v>
      </x:c>
    </x:row>
    <x:row r="38" ht="48" customHeight="1">
      <x:c r="A38" s="16" t="str">
        <x:v>edu.uclouvain.core.nodus.compute.results</x:v>
      </x:c>
      <x:c r="B38" s="16" t="str">
        <x:v>OK</x:v>
      </x:c>
      <x:c r="C38" s="16" t="str">
        <x:v>Database queries that turn assignment and demand data into map displays.</x:v>
      </x:c>
      <x:c r="D38" s="16" t="str">
        <x:v>Distinguishes result consumption and display from assignment result production.</x:v>
      </x:c>
      <x:c r="E38" s="16" t="str">
        <x:v>None required.</x:v>
      </x:c>
      <x:c r="F38" s="16" t="str">
        <x:v>Published</x:v>
      </x:c>
    </x:row>
    <x:row r="39" ht="48" customHeight="1">
      <x:c r="A39" s="17" t="str">
        <x:v>edu.uclouvain.core.nodus.compute.results.gui</x:v>
      </x:c>
      <x:c r="B39" s="17" t="str">
        <x:v>OK</x:v>
      </x:c>
      <x:c r="C39" s="17" t="str">
        <x:v>Selection of network results and demand values to display on the map.</x:v>
      </x:c>
      <x:c r="D39" s="17" t="str">
        <x:v>Single dialog coordinates selection and display reset.</x:v>
      </x:c>
      <x:c r="E39" s="17" t="str">
        <x:v>None required.</x:v>
      </x:c>
      <x:c r="F39" s="17" t="str">
        <x:v>Published</x:v>
      </x:c>
    </x:row>
    <x:row r="40" ht="48" customHeight="1">
      <x:c r="A40" s="16" t="str">
        <x:v>edu.uclouvain.core.nodus.compute.rules</x:v>
      </x:c>
      <x:c r="B40" s="16" t="str">
        <x:v>OK</x:v>
      </x:c>
      <x:c r="C40" s="16" t="str">
        <x:v>Node-level inclusion and exclusion rules for transport-mode transitions.</x:v>
      </x:c>
      <x:c r="D40" s="16" t="str">
        <x:v>Avoids the legacy shorthand that describes all rules as exclusions.</x:v>
      </x:c>
      <x:c r="E40" s="16" t="str">
        <x:v>None required.</x:v>
      </x:c>
      <x:c r="F40" s="16" t="str">
        <x:v>Published</x:v>
      </x:c>
    </x:row>
    <x:row r="41" ht="48" customHeight="1">
      <x:c r="A41" s="17" t="str">
        <x:v>edu.uclouvain.core.nodus.compute.rules.gui</x:v>
      </x:c>
      <x:c r="B41" s="17" t="str">
        <x:v>OK</x:v>
      </x:c>
      <x:c r="C41" s="17" t="str">
        <x:v>Editing of permitted and forbidden operations at a network node.</x:v>
      </x:c>
      <x:c r="D41" s="17" t="str">
        <x:v>Documents the controls and their relationship to computation-side rules.</x:v>
      </x:c>
      <x:c r="E41" s="17" t="str">
        <x:v>None required.</x:v>
      </x:c>
      <x:c r="F41" s="17" t="str">
        <x:v>Published</x:v>
      </x:c>
    </x:row>
    <x:row r="42" ht="48" customHeight="1">
      <x:c r="A42" s="16" t="str">
        <x:v>edu.uclouvain.core.nodus.compute.scenario</x:v>
      </x:c>
      <x:c r="B42" s="16" t="str">
        <x:v>OK</x:v>
      </x:c>
      <x:c r="C42" s="16" t="str">
        <x:v>Management and combination of saved assignment scenarios.</x:v>
      </x:c>
      <x:c r="D42" s="16" t="str">
        <x:v>Describes saved-result operations rather than hypothetical input-scenario modeling.</x:v>
      </x:c>
      <x:c r="E42" s="16" t="str">
        <x:v>None required.</x:v>
      </x:c>
      <x:c r="F42" s="16" t="str">
        <x:v>Published</x:v>
      </x:c>
    </x:row>
    <x:row r="43" ht="48" customHeight="1">
      <x:c r="A43" s="17" t="str">
        <x:v>edu.uclouvain.core.nodus.compute.scenario.gui</x:v>
      </x:c>
      <x:c r="B43" s="17" t="str">
        <x:v>OK</x:v>
      </x:c>
      <x:c r="C43" s="17" t="str">
        <x:v>Dialogs for removing, renumbering, comparing and summing saved scenarios.</x:v>
      </x:c>
      <x:c r="D43" s="17" t="str">
        <x:v>Single dialog for the scenario operations exposed by the companion package.</x:v>
      </x:c>
      <x:c r="E43" s="17" t="str">
        <x:v>None required.</x:v>
      </x:c>
      <x:c r="F43" s="17" t="str">
        <x:v>Published</x:v>
      </x:c>
    </x:row>
    <x:row r="44" ht="48" customHeight="1">
      <x:c r="A44" s="16" t="str">
        <x:v>edu.uclouvain.core.nodus.compute.virtual</x:v>
      </x:c>
      <x:c r="B44" s="16" t="str">
        <x:v>OK</x:v>
      </x:c>
      <x:c r="C44" s="16" t="str">
        <x:v>Virtual transport-network construction, mutable flows and assignment result writing.</x:v>
      </x:c>
      <x:c r="D44" s="16" t="str">
        <x:v>Includes network construction, demand association and result-writer ownership.</x:v>
      </x:c>
      <x:c r="E44" s="16" t="str">
        <x:v>None required.</x:v>
      </x:c>
      <x:c r="F44" s="16" t="str">
        <x:v>Published</x:v>
      </x:c>
    </x:row>
    <x:row r="45" ht="48" customHeight="1">
      <x:c r="A45" s="17" t="str">
        <x:v>edu.uclouvain.core.nodus.database</x:v>
      </x:c>
      <x:c r="B45" s="17" t="str">
        <x:v>OK</x:v>
      </x:c>
      <x:c r="C45" s="17" t="str">
        <x:v>Database access, project layer files and network integrity checks.</x:v>
      </x:c>
      <x:c r="D45" s="17" t="str">
        <x:v>Overview covers the mixed database/file/integrity responsibilities without implying connection isolation.</x:v>
      </x:c>
      <x:c r="E45" s="17" t="str">
        <x:v>None required.</x:v>
      </x:c>
      <x:c r="F45" s="17" t="str">
        <x:v>Published</x:v>
      </x:c>
    </x:row>
    <x:row r="46" ht="48" customHeight="1">
      <x:c r="A46" s="16" t="str">
        <x:v>edu.uclouvain.core.nodus.database.csv</x:v>
      </x:c>
      <x:c r="B46" s="16" t="str">
        <x:v>OK</x:v>
      </x:c>
      <x:c r="C46" s="16" t="str">
        <x:v>CSV import and export for project database tables.</x:v>
      </x:c>
      <x:c r="D46" s="16" t="str">
        <x:v>The existing-table requirement and optional header behavior are explicit.</x:v>
      </x:c>
      <x:c r="E46" s="16" t="str">
        <x:v>None required.</x:v>
      </x:c>
      <x:c r="F46" s="16" t="str">
        <x:v>Published</x:v>
      </x:c>
    </x:row>
    <x:row r="47" ht="48" customHeight="1">
      <x:c r="A47" s="17" t="str">
        <x:v>edu.uclouvain.core.nodus.database.dbf</x:v>
      </x:c>
      <x:c r="B47" s="17" t="str">
        <x:v>OK</x:v>
      </x:c>
      <x:c r="C47" s="17" t="str">
        <x:v>Interchange between DBF files, project database tables and shapefile attributes.</x:v>
      </x:c>
      <x:c r="D47" s="17" t="str">
        <x:v>Covers both database and table-model export paths without promising lossless type conversion.</x:v>
      </x:c>
      <x:c r="E47" s="17" t="str">
        <x:v>None required.</x:v>
      </x:c>
      <x:c r="F47" s="17" t="str">
        <x:v>Published</x:v>
      </x:c>
    </x:row>
    <x:row r="48" ht="48" customHeight="1">
      <x:c r="A48" s="16" t="str">
        <x:v>edu.uclouvain.core.nodus.database.gui</x:v>
      </x:c>
      <x:c r="B48" s="16" t="str">
        <x:v>OK</x:v>
      </x:c>
      <x:c r="C48" s="16" t="str">
        <x:v>The project SQL console, statistical query builder and chart dialogs.</x:v>
      </x:c>
      <x:c r="D48" s="16" t="str">
        <x:v>Includes console extensions and the two distinct statistics dialogs.</x:v>
      </x:c>
      <x:c r="E48" s="16" t="str">
        <x:v>None required.</x:v>
      </x:c>
      <x:c r="F48" s="16" t="str">
        <x:v>Published</x:v>
      </x:c>
    </x:row>
    <x:row r="49" ht="48" customHeight="1">
      <x:c r="A49" s="17" t="str">
        <x:v>edu.uclouvain.core.nodus.database.sql</x:v>
      </x:c>
      <x:c r="B49" s="17" t="str">
        <x:v>OK</x:v>
      </x:c>
      <x:c r="C49" s="17" t="str">
        <x:v>SQL syntax highlighting for the Nodus database console.</x:v>
      </x:c>
      <x:c r="D49" s="17" t="str">
        <x:v>Generated lexer with documented manual adaptations. This internal package is excluded from ApiDoc.</x:v>
      </x:c>
      <x:c r="E49" s="17" t="str">
        <x:v>None required.</x:v>
      </x:c>
      <x:c r="F49" s="17" t="str">
        <x:v>Excluded by build</x:v>
      </x:c>
    </x:row>
    <x:row r="50" ht="48" customHeight="1">
      <x:c r="A50" s="16" t="str">
        <x:v>edu.uclouvain.core.nodus.database.xls</x:v>
      </x:c>
      <x:c r="B50" s="16" t="str">
        <x:v>OK</x:v>
      </x:c>
      <x:c r="C50" s="16" t="str">
        <x:v>Excel workbook import and export for project database tables.</x:v>
      </x:c>
      <x:c r="D50" s="16" t="str">
        <x:v>Identifies both supported file formats and the conditional schema-creation convention.</x:v>
      </x:c>
      <x:c r="E50" s="16" t="str">
        <x:v>None required.</x:v>
      </x:c>
      <x:c r="F50" s="16" t="str">
        <x:v>Published</x:v>
      </x:c>
    </x:row>
    <x:row r="51" ht="48" customHeight="1">
      <x:c r="A51" s="17" t="str">
        <x:v>edu.uclouvain.core.nodus.gui</x:v>
      </x:c>
      <x:c r="B51" s="17" t="str">
        <x:v>OK</x:v>
      </x:c>
      <x:c r="C51" s="17" t="str">
        <x:v>Application preferences, startup screens and general-purpose Nodus dialogs.</x:v>
      </x:c>
      <x:c r="D51" s="17" t="str">
        <x:v>Documents shared application dialogs while directing feature-specific UI to its owning packages.</x:v>
      </x:c>
      <x:c r="E51" s="17" t="str">
        <x:v>None required.</x:v>
      </x:c>
      <x:c r="F51" s="17" t="str">
        <x:v>Published</x:v>
      </x:c>
    </x:row>
    <x:row r="52" ht="48" customHeight="1">
      <x:c r="A52" s="16" t="str">
        <x:v>edu.uclouvain.core.nodus.helpbrowser</x:v>
      </x:c>
      <x:c r="B52" s="16" t="str">
        <x:v>OK</x:v>
      </x:c>
      <x:c r="C52" s="16" t="str">
        <x:v>Opening installed user help and API documentation in the system browser.</x:v>
      </x:c>
      <x:c r="D52" s="16" t="str">
        <x:v>Source resolves local installed files despite the older class comment calling the help online.</x:v>
      </x:c>
      <x:c r="E52" s="16" t="str">
        <x:v>None required.</x:v>
      </x:c>
      <x:c r="F52" s="16" t="str">
        <x:v>Published</x:v>
      </x:c>
    </x:row>
    <x:row r="53" ht="48" customHeight="1">
      <x:c r="A53" s="17" t="str">
        <x:v>edu.uclouvain.core.nodus.services</x:v>
      </x:c>
      <x:c r="B53" s="17" t="str">
        <x:v>OK</x:v>
      </x:c>
      <x:c r="C53" s="17" t="str">
        <x:v>Transport-service definitions, route editing and database persistence.</x:v>
      </x:c>
      <x:c r="D53" s="17" t="str">
        <x:v>Separates editable service definitions, indexed lookup and transaction ownership.</x:v>
      </x:c>
      <x:c r="E53" s="17" t="str">
        <x:v>None required.</x:v>
      </x:c>
      <x:c r="F53" s="17" t="str">
        <x:v>Published</x:v>
      </x:c>
    </x:row>
    <x:row r="54" ht="48" customHeight="1">
      <x:c r="A54" s="16" t="str">
        <x:v>edu.uclouvain.core.nodus.services.gui</x:v>
      </x:c>
      <x:c r="B54" s="16" t="str">
        <x:v>OK</x:v>
      </x:c>
      <x:c r="C54" s="16" t="str">
        <x:v>The editor for transport-service routes, stops and operating characteristics.</x:v>
      </x:c>
      <x:c r="D54" s="16" t="str">
        <x:v>The UI/controller division is explicit in constructors and callbacks.</x:v>
      </x:c>
      <x:c r="E54" s="16" t="str">
        <x:v>None required.</x:v>
      </x:c>
      <x:c r="F54" s="16" t="str">
        <x:v>Published</x:v>
      </x:c>
    </x:row>
    <x:row r="55" ht="48" customHeight="1">
      <x:c r="A55" s="17" t="str">
        <x:v>edu.uclouvain.core.nodus.swing</x:v>
      </x:c>
      <x:c r="B55" s="17" t="str">
        <x:v>OK</x:v>
      </x:c>
      <x:c r="C55" s="17" t="str">
        <x:v>Reusable Swing dialogs, table models, layouts and interface helpers.</x:v>
      </x:c>
      <x:c r="D55" s="17" t="str">
        <x:v>Shared UI utilities have several roles; overview groups them without implying a single workflow.</x:v>
      </x:c>
      <x:c r="E55" s="17" t="str">
        <x:v>None required.</x:v>
      </x:c>
      <x:c r="F55" s="17" t="str">
        <x:v>Published</x:v>
      </x:c>
    </x:row>
    <x:row r="56" ht="48" customHeight="1">
      <x:c r="A56" s="16" t="str">
        <x:v>edu.uclouvain.core.nodus.tools.console</x:v>
      </x:c>
      <x:c r="B56" s="16" t="str">
        <x:v>OK</x:v>
      </x:c>
      <x:c r="C56" s="16" t="str">
        <x:v>A desktop console for Nodus standard output and error messages.</x:v>
      </x:c>
      <x:c r="D56" s="16" t="str">
        <x:v>Clarifies the distinction from SQLConsole and limits restoration to streams still owned by the console.</x:v>
      </x:c>
      <x:c r="E56" s="16" t="str">
        <x:v>None required.</x:v>
      </x:c>
      <x:c r="F56" s="16" t="str">
        <x:v>Published</x:v>
      </x:c>
    </x:row>
    <x:row r="57" ht="48" customHeight="1">
      <x:c r="A57" s="17" t="str">
        <x:v>edu.uclouvain.core.nodus.tools.notepad</x:v>
      </x:c>
      <x:c r="B57" s="17" t="str">
        <x:v>OK</x:v>
      </x:c>
      <x:c r="C57" s="17" t="str">
        <x:v>Text editing for cost functions and Groovy scripts, with printing support.</x:v>
      </x:c>
      <x:c r="D57" s="17" t="str">
        <x:v>Differentiates editing and scripting from the numerical cost parser.</x:v>
      </x:c>
      <x:c r="E57" s="17" t="str">
        <x:v>None required.</x:v>
      </x:c>
      <x:c r="F57" s="17" t="str">
        <x:v>Published</x:v>
      </x:c>
    </x:row>
    <x:row r="58" ht="48" customHeight="1">
      <x:c r="A58" s="16" t="str">
        <x:v>edu.uclouvain.core.nodus.utils</x:v>
      </x:c>
      <x:c r="B58" s="16" t="str">
        <x:v>OK</x:v>
      </x:c>
      <x:c r="C58" s="16" t="str">
        <x:v>Shared utilities for plugins, scripts, project files and application support.</x:v>
      </x:c>
      <x:c r="D58" s="16" t="str">
        <x:v>Intentionally a broad support package. Overview groups verified responsibilities rather than implying one cohesive algorithm.</x:v>
      </x:c>
      <x:c r="E58" s="16" t="str">
        <x:v>None required.</x:v>
      </x:c>
      <x:c r="F58" s="16" t="str">
        <x:v>Published</x:v>
      </x:c>
    </x:row>
  </x:sheetData>
  <x:conditionalFormatting sqref="B8:B58">
    <x:cfRule type="expression" dxfId="0" priority="1">
      <x:formula>B8="Unsure"</x:formula>
    </x:cfRule>
    <x:cfRule type="expression" dxfId="1" priority="2">
      <x:formula>B8="Unable to describe"</x:formula>
    </x:cfRule>
  </x:conditionalFormatting>
  <x:dataValidations count="1">
    <x:dataValidation type="list" sqref="B8:B58">
      <x:formula1>"OK,Unsure,Unable to describe"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00720f810504d4d"/>
  </x:tableParts>
</x:worksheet>
</file>

<file path=xl/worksheets/sheet2.xml><?xml version="1.0" encoding="utf-8"?>
<x:worksheet xmlns:x="http://schemas.openxmlformats.org/spreadsheetml/2006/main">
  <x:sheetPr>
    <x:tabColor rgb="FF7691AC"/>
  </x:sheetPr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46.11000061035156" hidden="0" customWidth="1"/>
    <x:col min="2" max="2" width="69.44000244140625" hidden="0" customWidth="1"/>
    <x:col min="3" max="3" width="55" hidden="0" customWidth="1"/>
    <x:col min="4" max="4" width="10.5600004196167" hidden="0" customWidth="1"/>
    <x:col min="5" max="5" width="11.109999656677246" hidden="0" customWidth="1"/>
  </x:cols>
  <x:sheetData>
    <x:row r="1" ht="18.75" customHeight="1">
      <x:c r="A1" s="2"/>
      <x:c r="B1" s="2"/>
      <x:c r="C1" s="2"/>
      <x:c r="D1" s="2"/>
      <x:c r="E1" s="2"/>
    </x:row>
    <x:row r="2" ht="26.25" customHeight="1">
      <x:c r="A2" s="3" t="str">
        <x:v>Package documentation source map</x:v>
      </x:c>
      <x:c r="B2" s="2"/>
      <x:c r="C2" s="2"/>
      <x:c r="D2" s="2"/>
      <x:c r="E2" s="2"/>
    </x:row>
    <x:row r="3" ht="18.75" customHeight="1">
      <x:c r="A3" s="4" t="str">
        <x:v>Paths are relative to the Nodus repository. The referenced files contain the complete package comments.</x:v>
      </x:c>
      <x:c r="B3" s="2"/>
      <x:c r="C3" s="2"/>
      <x:c r="D3" s="2"/>
      <x:c r="E3" s="2"/>
    </x:row>
    <x:row r="4" ht="18.75" customHeight="1">
      <x:c r="A4" s="4" t="str">
        <x:v>Key entry points identify representative evidence; file counts exclude package-info.java and test sources.</x:v>
      </x:c>
      <x:c r="B4" s="2"/>
      <x:c r="C4" s="2"/>
      <x:c r="D4" s="2"/>
      <x:c r="E4" s="2"/>
    </x:row>
    <x:row r="5" ht="18.75" customHeight="1">
      <x:c r="A5" s="4" t="str">
        <x:v>ApiDoc exclusions are configured in build-user.xml:44. All 51 source packages are documented regardless of publication.</x:v>
      </x:c>
      <x:c r="B5" s="2"/>
      <x:c r="C5" s="2"/>
      <x:c r="D5" s="2"/>
      <x:c r="E5" s="2"/>
    </x:row>
    <x:row r="6" ht="18.75" customHeight="1">
      <x:c r="A6" s="4" t="str">
        <x:v>Validation: ApiDoc rebuilt with 0 warnings; all 50 new files pass Checkstyle. Existing Java files are unchanged.</x:v>
      </x:c>
      <x:c r="B6" s="2"/>
      <x:c r="C6" s="2"/>
      <x:c r="D6" s="2"/>
      <x:c r="E6" s="2"/>
    </x:row>
    <x:row r="7" ht="18.75" customHeight="1">
      <x:c r="A7" s="2"/>
      <x:c r="B7" s="2"/>
      <x:c r="C7" s="2"/>
      <x:c r="D7" s="2"/>
      <x:c r="E7" s="2"/>
    </x:row>
    <x:row r="8" ht="22.5" customHeight="1">
      <x:c r="A8" s="11" t="str">
        <x:v>Package</x:v>
      </x:c>
      <x:c r="B8" s="12" t="str">
        <x:v>Documentation file</x:v>
      </x:c>
      <x:c r="C8" s="12" t="str">
        <x:v>Key classes / methods reviewed</x:v>
      </x:c>
      <x:c r="D8" s="12" t="str">
        <x:v>Change</x:v>
      </x:c>
      <x:c r="E8" s="13" t="str">
        <x:v>Java files</x:v>
      </x:c>
    </x:row>
    <x:row r="9" ht="48" customHeight="1">
      <x:c r="A9" s="16" t="str">
        <x:v>com.bbn.openmap.dataAccess.shape</x:v>
      </x:c>
      <x:c r="B9" s="16" t="str">
        <x:v>src/com/bbn/openmap/dataAccess/shape/package-info.java</x:v>
      </x:c>
      <x:c r="C9" s="16" t="str">
        <x:v>NodusDbfTableModel.showGUI; NodusMetaDbfTableModel.setValueAt/isCellEditable</x:v>
      </x:c>
      <x:c r="D9" s="16" t="str">
        <x:v>Added</x:v>
      </x:c>
      <x:c r="E9" s="20" t="n">
        <x:v>2</x:v>
      </x:c>
    </x:row>
    <x:row r="10" ht="48" customHeight="1">
      <x:c r="A10" s="17" t="str">
        <x:v>com.bbn.openmap.event</x:v>
      </x:c>
      <x:c r="B10" s="17" t="str">
        <x:v>src/com/bbn/openmap/event/package-info.java</x:v>
      </x:c>
      <x:c r="C10" s="17" t="str">
        <x:v>NodusProjMapBeanKeyListener.keyReleased</x:v>
      </x:c>
      <x:c r="D10" s="17" t="str">
        <x:v>Added</x:v>
      </x:c>
      <x:c r="E10" s="21" t="n">
        <x:v>1</x:v>
      </x:c>
    </x:row>
    <x:row r="11" ht="48" customHeight="1">
      <x:c r="A11" s="16" t="str">
        <x:v>com.bbn.openmap.gui</x:v>
      </x:c>
      <x:c r="B11" s="16" t="str">
        <x:v>src/com/bbn/openmap/gui/package-info.java</x:v>
      </x:c>
      <x:c r="C11" s="16" t="str">
        <x:v>NodusOMControlPanel; NodusLayersPanel.createPanel; NodusEditLayersDlg</x:v>
      </x:c>
      <x:c r="D11" s="16" t="str">
        <x:v>Added</x:v>
      </x:c>
      <x:c r="E11" s="20" t="n">
        <x:v>3</x:v>
      </x:c>
    </x:row>
    <x:row r="12" ht="48" customHeight="1">
      <x:c r="A12" s="17" t="str">
        <x:v>com.bbn.openmap.gui.menu</x:v>
      </x:c>
      <x:c r="B12" s="17" t="str">
        <x:v>src/com/bbn/openmap/gui/menu/package-info.java</x:v>
      </x:c>
      <x:c r="C12" s="17" t="str">
        <x:v>NodusSaveAsImageMenuItem.actionPerformed; PNGImageFormatter.getFormatLabel</x:v>
      </x:c>
      <x:c r="D12" s="17" t="str">
        <x:v>Added</x:v>
      </x:c>
      <x:c r="E12" s="21" t="n">
        <x:v>2</x:v>
      </x:c>
    </x:row>
    <x:row r="13" ht="48" customHeight="1">
      <x:c r="A13" s="16" t="str">
        <x:v>com.bbn.openmap.layer</x:v>
      </x:c>
      <x:c r="B13" s="16" t="str">
        <x:v>src/com/bbn/openmap/layer/package-info.java</x:v>
      </x:c>
      <x:c r="C13" s="16" t="str">
        <x:v>NodusLabelLayer.getGUI/setProperties; ScaleAndCompassLayer.prepare/setProperties</x:v>
      </x:c>
      <x:c r="D13" s="16" t="str">
        <x:v>Added</x:v>
      </x:c>
      <x:c r="E13" s="20" t="n">
        <x:v>2</x:v>
      </x:c>
    </x:row>
    <x:row r="14" ht="48" customHeight="1">
      <x:c r="A14" s="17" t="str">
        <x:v>com.bbn.openmap.layer.drawing</x:v>
      </x:c>
      <x:c r="B14" s="17" t="str">
        <x:v>src/com/bbn/openmap/layer/drawing/package-info.java</x:v>
      </x:c>
      <x:c r="C14" s="17" t="str">
        <x:v>NodusDrawingToolLayer; NodusLayersPanel.createPanel</x:v>
      </x:c>
      <x:c r="D14" s="17" t="str">
        <x:v>Added</x:v>
      </x:c>
      <x:c r="E14" s="21" t="n">
        <x:v>1</x:v>
      </x:c>
    </x:row>
    <x:row r="15" ht="48" customHeight="1">
      <x:c r="A15" s="16" t="str">
        <x:v>com.bbn.openmap.layer.highlightedarea</x:v>
      </x:c>
      <x:c r="B15" s="16" t="str">
        <x:v>src/com/bbn/openmap/layer/highlightedarea/package-info.java</x:v>
      </x:c>
      <x:c r="C15" s="16" t="str">
        <x:v>HighlightedAreaLayer.getGUI/prepare/isInHighlightedArea; ODReader</x:v>
      </x:c>
      <x:c r="D15" s="16" t="str">
        <x:v>Added</x:v>
      </x:c>
      <x:c r="E15" s="20" t="n">
        <x:v>1</x:v>
      </x:c>
    </x:row>
    <x:row r="16" ht="48" customHeight="1">
      <x:c r="A16" s="17" t="str">
        <x:v>com.bbn.openmap.layer.image</x:v>
      </x:c>
      <x:c r="B16" s="17" t="str">
        <x:v>src/com/bbn/openmap/layer/image/package-info.java</x:v>
      </x:c>
      <x:c r="C16" s="17" t="str">
        <x:v>NodusMapTileLayer.clearCache; NodusWMSLayer.getCapabilities/updateLayer; NetUtils.pingHost</x:v>
      </x:c>
      <x:c r="D16" s="17" t="str">
        <x:v>Added</x:v>
      </x:c>
      <x:c r="E16" s="21" t="n">
        <x:v>4</x:v>
      </x:c>
    </x:row>
    <x:row r="17" ht="48" customHeight="1">
      <x:c r="A17" s="16" t="str">
        <x:v>com.bbn.openmap.layer.image.capabilities</x:v>
      </x:c>
      <x:c r="B17" s="16" t="str">
        <x:v>src/com/bbn/openmap/layer/image/capabilities/package-info.java</x:v>
      </x:c>
      <x:c r="C17" s="16" t="str">
        <x:v>WmsCapabilitiesXmlParser.startElement/endElement; WmsLayerInfo.getLatLonBoundingBox</x:v>
      </x:c>
      <x:c r="D17" s="16" t="str">
        <x:v>Added</x:v>
      </x:c>
      <x:c r="E17" s="20" t="n">
        <x:v>6</x:v>
      </x:c>
    </x:row>
    <x:row r="18" ht="48" customHeight="1">
      <x:c r="A18" s="17" t="str">
        <x:v>com.bbn.openmap.layer.image.gui</x:v>
      </x:c>
      <x:c r="B18" s="17" t="str">
        <x:v>src/com/bbn/openmap/layer/image/gui/package-info.java</x:v>
      </x:c>
      <x:c r="C18" s="17" t="str">
        <x:v>WmsLayersChooserDlg; NodusWMSLayer.updateLayer/getTreeData</x:v>
      </x:c>
      <x:c r="D18" s="17" t="str">
        <x:v>Added</x:v>
      </x:c>
      <x:c r="E18" s="21" t="n">
        <x:v>1</x:v>
      </x:c>
    </x:row>
    <x:row r="19" ht="48" customHeight="1">
      <x:c r="A19" s="16" t="str">
        <x:v>com.bbn.openmap.layer.location</x:v>
      </x:c>
      <x:c r="B19" s="16" t="str">
        <x:v>src/com/bbn/openmap/layer/location/package-info.java</x:v>
      </x:c>
      <x:c r="C19" s="16" t="str">
        <x:v>NodusLocationHandler.reloadData/get; NodusLocationLayer.addLocationHandler</x:v>
      </x:c>
      <x:c r="D19" s="16" t="str">
        <x:v>Added</x:v>
      </x:c>
      <x:c r="E19" s="20" t="n">
        <x:v>2</x:v>
      </x:c>
    </x:row>
    <x:row r="20" ht="48" customHeight="1">
      <x:c r="A20" s="17" t="str">
        <x:v>com.bbn.openmap.layer.location.gui</x:v>
      </x:c>
      <x:c r="B20" s="17" t="str">
        <x:v>src/com/bbn/openmap/layer/location/gui/package-info.java</x:v>
      </x:c>
      <x:c r="C20" s="17" t="str">
        <x:v>LocationFieldChooserDlg; NodusLocationHandler.setLocationFieldName/setDisplayResults</x:v>
      </x:c>
      <x:c r="D20" s="17" t="str">
        <x:v>Added</x:v>
      </x:c>
      <x:c r="E20" s="21" t="n">
        <x:v>1</x:v>
      </x:c>
    </x:row>
    <x:row r="21" ht="48" customHeight="1">
      <x:c r="A21" s="16" t="str">
        <x:v>com.bbn.openmap.layer.shape</x:v>
      </x:c>
      <x:c r="B21" s="16" t="str">
        <x:v>src/com/bbn/openmap/layer/shape/package-info.java</x:v>
      </x:c>
      <x:c r="C21" s="16" t="str">
        <x:v>NodusEsriLayer.insertRecord/save/rollback; FastEsriLayer.prepare; PoliticalBoundariesLayer</x:v>
      </x:c>
      <x:c r="D21" s="16" t="str">
        <x:v>Added</x:v>
      </x:c>
      <x:c r="E21" s="20" t="n">
        <x:v>3</x:v>
      </x:c>
    </x:row>
    <x:row r="22" ht="48" customHeight="1">
      <x:c r="A22" s="17" t="str">
        <x:v>com.bbn.openmap.layer.shape.displayindex</x:v>
      </x:c>
      <x:c r="B22" s="17" t="str">
        <x:v>src/com/bbn/openmap/layer/shape/displayindex/package-info.java</x:v>
      </x:c>
      <x:c r="C22" s="17" t="str">
        <x:v>DisplaySpatialIndexFactory.createIndex; DisplaySpatialIndexTree; FastEsriLayer.invalidateSpatialIndex</x:v>
      </x:c>
      <x:c r="D22" s="17" t="str">
        <x:v>Added</x:v>
      </x:c>
      <x:c r="E22" s="21" t="n">
        <x:v>5</x:v>
      </x:c>
    </x:row>
    <x:row r="23" ht="48" customHeight="1">
      <x:c r="A23" s="16" t="str">
        <x:v>com.bbn.openmap.layer.shape.gui</x:v>
      </x:c>
      <x:c r="B23" s="16" t="str">
        <x:v>src/com/bbn/openmap/layer/shape/gui/package-info.java</x:v>
      </x:c>
      <x:c r="C23" s="16" t="str">
        <x:v>DbfEditDlg; SelectPropertiesDlg; ServicesAtShapeDlg; VirtualNetworkViewerDlg</x:v>
      </x:c>
      <x:c r="D23" s="16" t="str">
        <x:v>Added</x:v>
      </x:c>
      <x:c r="E23" s="20" t="n">
        <x:v>4</x:v>
      </x:c>
    </x:row>
    <x:row r="24" ht="48" customHeight="1">
      <x:c r="A24" s="17" t="str">
        <x:v>com.bbn.openmap.layer.shape.jung</x:v>
      </x:c>
      <x:c r="B24" s="17" t="str">
        <x:v>src/com/bbn/openmap/layer/shape/jung/package-info.java</x:v>
      </x:c>
      <x:c r="C24" s="17" t="str">
        <x:v>JungVirtualNode constructors/getters; JungVirtualLink constructors/inferType</x:v>
      </x:c>
      <x:c r="D24" s="17" t="str">
        <x:v>Added</x:v>
      </x:c>
      <x:c r="E24" s="21" t="n">
        <x:v>2</x:v>
      </x:c>
    </x:row>
    <x:row r="25" ht="48" customHeight="1">
      <x:c r="A25" s="16" t="str">
        <x:v>com.bbn.openmap.layer.shape.jung.gui</x:v>
      </x:c>
      <x:c r="B25" s="16" t="str">
        <x:v>src/com/bbn/openmap/layer/shape/jung/gui/package-info.java</x:v>
      </x:c>
      <x:c r="C25" s="16" t="str">
        <x:v>VirtualNetworkGraphViewerDlg; Rings.paint; FormattedTime</x:v>
      </x:c>
      <x:c r="D25" s="16" t="str">
        <x:v>Added</x:v>
      </x:c>
      <x:c r="E25" s="20" t="n">
        <x:v>3</x:v>
      </x:c>
    </x:row>
    <x:row r="26" ht="48" customHeight="1">
      <x:c r="A26" s="17" t="str">
        <x:v>com.bbn.openmap.omGraphics</x:v>
      </x:c>
      <x:c r="B26" s="17" t="str">
        <x:v>src/com/bbn/openmap/omGraphics/package-info.java</x:v>
      </x:c>
      <x:c r="C26" s="17" t="str">
        <x:v>NodusDrawingAttributes; NodusOMGraphic.generate; MapPolylineDetail.generate</x:v>
      </x:c>
      <x:c r="D26" s="17" t="str">
        <x:v>Added</x:v>
      </x:c>
      <x:c r="E26" s="21" t="n">
        <x:v>3</x:v>
      </x:c>
    </x:row>
    <x:row r="27" ht="48" customHeight="1">
      <x:c r="A27" s="16" t="str">
        <x:v>com.bbn.openmap.omGraphics.event</x:v>
      </x:c>
      <x:c r="B27" s="16" t="str">
        <x:v>src/com/bbn/openmap/omGraphics/event/package-info.java</x:v>
      </x:c>
      <x:c r="C27" s="16" t="str">
        <x:v>NodusMapMouseInterpreter.handleToolTip</x:v>
      </x:c>
      <x:c r="D27" s="16" t="str">
        <x:v>Added</x:v>
      </x:c>
      <x:c r="E27" s="20" t="n">
        <x:v>1</x:v>
      </x:c>
    </x:row>
    <x:row r="28" ht="48" customHeight="1">
      <x:c r="A28" s="17" t="str">
        <x:v>com.bbn.openmap.proj</x:v>
      </x:c>
      <x:c r="B28" s="17" t="str">
        <x:v>src/com/bbn/openmap/proj/package-info.java</x:v>
      </x:c>
      <x:c r="C28" s="17" t="str">
        <x:v>EqualEarth.forward/inverse/forwardNormalized; EqualEarthLoader.create</x:v>
      </x:c>
      <x:c r="D28" s="17" t="str">
        <x:v>Added</x:v>
      </x:c>
      <x:c r="E28" s="21" t="n">
        <x:v>2</x:v>
      </x:c>
    </x:row>
    <x:row r="29" ht="48" customHeight="1">
      <x:c r="A29" s="16" t="str">
        <x:v>com.bbn.openmap.tools.drawing</x:v>
      </x:c>
      <x:c r="B29" s="16" t="str">
        <x:v>src/com/bbn/openmap/tools/drawing/package-info.java</x:v>
      </x:c>
      <x:c r="C29" s="16" t="str">
        <x:v>NodusOMDrawingTool; NodusOMDrawingToolLauncher; LineSplitter; point/poly loaders</x:v>
      </x:c>
      <x:c r="D29" s="16" t="str">
        <x:v>Added</x:v>
      </x:c>
      <x:c r="E29" s="20" t="n">
        <x:v>7</x:v>
      </x:c>
    </x:row>
    <x:row r="30" ht="48" customHeight="1">
      <x:c r="A30" s="17" t="str">
        <x:v>edu.uclouvain.core.nodus</x:v>
      </x:c>
      <x:c r="B30" s="17" t="str">
        <x:v>src/edu/uclouvain/core/nodus/package-info.java</x:v>
      </x:c>
      <x:c r="C30" s="17" t="str">
        <x:v>Nodus.main; NodusMapPanel; NodusProject.openProject/close; NodusPlugin.dispose</x:v>
      </x:c>
      <x:c r="D30" s="17" t="str">
        <x:v>Added</x:v>
      </x:c>
      <x:c r="E30" s="21" t="n">
        <x:v>5</x:v>
      </x:c>
    </x:row>
    <x:row r="31" ht="48" customHeight="1">
      <x:c r="A31" s="16" t="str">
        <x:v>edu.uclouvain.core.nodus.compute.assign</x:v>
      </x:c>
      <x:c r="B31" s="16" t="str">
        <x:v>src/edu/uclouvain/core/nodus/compute/assign/package-info.java</x:v>
      </x:c>
      <x:c r="C31" s="16" t="str">
        <x:v>Assignment.run/computeModalChoiceCosts; algorithm assign methods; AssignmentCompletion; AssignmentDlg</x:v>
      </x:c>
      <x:c r="D31" s="16" t="str">
        <x:v>Added</x:v>
      </x:c>
      <x:c r="E31" s="20" t="n">
        <x:v>13</x:v>
      </x:c>
    </x:row>
    <x:row r="32" ht="48" customHeight="1">
      <x:c r="A32" s="17" t="str">
        <x:v>edu.uclouvain.core.nodus.compute.assign.gui</x:v>
      </x:c>
      <x:c r="B32" s="17" t="str">
        <x:v>src/edu/uclouvain/core/nodus/compute/assign/gui/package-info.java</x:v>
      </x:c>
      <x:c r="C32" s="17" t="str">
        <x:v>AssignmentDlg: parameter collection, method selection and assignment construction</x:v>
      </x:c>
      <x:c r="D32" s="17" t="str">
        <x:v>Added</x:v>
      </x:c>
      <x:c r="E32" s="21" t="n">
        <x:v>1</x:v>
      </x:c>
    </x:row>
    <x:row r="33" ht="48" customHeight="1">
      <x:c r="A33" s="16" t="str">
        <x:v>edu.uclouvain.core.nodus.compute.assign.shortestpath</x:v>
      </x:c>
      <x:c r="B33" s="16" t="str">
        <x:v>src/edu/uclouvain/core/nodus/compute/assign/shortestpath/package-info.java</x:v>
      </x:c>
      <x:c r="C33" s="16" t="str">
        <x:v>BinaryHeapDijkstra/BinaryHeapAStar.compute; CompactShortestPathGraph.copyWeight; ReachabilityDijkstra</x:v>
      </x:c>
      <x:c r="D33" s="16" t="str">
        <x:v>Added</x:v>
      </x:c>
      <x:c r="E33" s="20" t="n">
        <x:v>7</x:v>
      </x:c>
    </x:row>
    <x:row r="34" ht="48" customHeight="1">
      <x:c r="A34" s="17" t="str">
        <x:v>edu.uclouvain.core.nodus.compute.assign.workers</x:v>
      </x:c>
      <x:c r="B34" s="17" t="str">
        <x:v>src/edu/uclouvain/core/nodus/compute/assign/workers/package-info.java</x:v>
      </x:c>
      <x:c r="C34" s="17" t="str">
        <x:v>AssignmentWorker.run/requestCancel; worker classes; MultiFlowEdgeUpdates; PathWeights</x:v>
      </x:c>
      <x:c r="D34" s="17" t="str">
        <x:v>Added</x:v>
      </x:c>
      <x:c r="E34" s="21" t="n">
        <x:v>13</x:v>
      </x:c>
    </x:row>
    <x:row r="35" ht="48" customHeight="1">
      <x:c r="A35" s="16" t="str">
        <x:v>edu.uclouvain.core.nodus.compute.costs</x:v>
      </x:c>
      <x:c r="B35" s="16" t="str">
        <x:v>src/edu/uclouvain/core/nodus/compute/costs/package-info.java</x:v>
      </x:c>
      <x:c r="C35" s="16" t="str">
        <x:v>CostParser.compute/getValue; CostExpressionCache; CostParserWorker.run; VehiclesParser</x:v>
      </x:c>
      <x:c r="D35" s="16" t="str">
        <x:v>Added</x:v>
      </x:c>
      <x:c r="E35" s="20" t="n">
        <x:v>5</x:v>
      </x:c>
    </x:row>
    <x:row r="36" ht="48" customHeight="1">
      <x:c r="A36" s="17" t="str">
        <x:v>edu.uclouvain.core.nodus.compute.modalsplit</x:v>
      </x:c>
      <x:c r="B36" s="17" t="str">
        <x:v>src/edu/uclouvain/core/nodus/compute/modalsplit/package-info.java</x:v>
      </x:c>
      <x:c r="C36" s="17" t="str">
        <x:v>ModalSplitMethod; built-in models and estimators; LogitCalibration; ModalChoiceEstimationDlg</x:v>
      </x:c>
      <x:c r="D36" s="17" t="str">
        <x:v>Retained</x:v>
      </x:c>
      <x:c r="E36" s="21" t="n">
        <x:v>18</x:v>
      </x:c>
    </x:row>
    <x:row r="37" ht="48" customHeight="1">
      <x:c r="A37" s="16" t="str">
        <x:v>edu.uclouvain.core.nodus.compute.od</x:v>
      </x:c>
      <x:c r="B37" s="16" t="str">
        <x:v>src/edu/uclouvain/core/nodus/compute/od/package-info.java</x:v>
      </x:c>
      <x:c r="C37" s="16" t="str">
        <x:v>ODReader.getValidODTables/loadDemand; ODCell constructors and relocation accessors</x:v>
      </x:c>
      <x:c r="D37" s="16" t="str">
        <x:v>Added</x:v>
      </x:c>
      <x:c r="E37" s="20" t="n">
        <x:v>2</x:v>
      </x:c>
    </x:row>
    <x:row r="38" ht="48" customHeight="1">
      <x:c r="A38" s="17" t="str">
        <x:v>edu.uclouvain.core.nodus.compute.real</x:v>
      </x:c>
      <x:c r="B38" s="17" t="str">
        <x:v>src/edu/uclouvain/core/nodus/compute/real/package-info.java</x:v>
      </x:c>
      <x:c r="C38" s="17" t="str">
        <x:v>RealNetworkObject; RealLink; RealLinkInitializer.initializeRealLink/computeLength</x:v>
      </x:c>
      <x:c r="D38" s="17" t="str">
        <x:v>Added</x:v>
      </x:c>
      <x:c r="E38" s="21" t="n">
        <x:v>4</x:v>
      </x:c>
    </x:row>
    <x:row r="39" ht="48" customHeight="1">
      <x:c r="A39" s="16" t="str">
        <x:v>edu.uclouvain.core.nodus.compute.results</x:v>
      </x:c>
      <x:c r="B39" s="16" t="str">
        <x:v>src/edu/uclouvain/core/nodus/compute/results/package-info.java</x:v>
      </x:c>
      <x:c r="C39" s="16" t="str">
        <x:v>LinkResults.displayVolumes/displayPath/displayTimeDependentFlows; NodeResults.readOD</x:v>
      </x:c>
      <x:c r="D39" s="16" t="str">
        <x:v>Added</x:v>
      </x:c>
      <x:c r="E39" s="20" t="n">
        <x:v>2</x:v>
      </x:c>
    </x:row>
    <x:row r="40" ht="48" customHeight="1">
      <x:c r="A40" s="17" t="str">
        <x:v>edu.uclouvain.core.nodus.compute.results.gui</x:v>
      </x:c>
      <x:c r="B40" s="17" t="str">
        <x:v>src/edu/uclouvain/core/nodus/compute/results/gui/package-info.java</x:v>
      </x:c>
      <x:c r="C40" s="17" t="str">
        <x:v>ResultsDlg; LinkResults/NodeResults construction; ResultsDlg.resetLayers</x:v>
      </x:c>
      <x:c r="D40" s="17" t="str">
        <x:v>Added</x:v>
      </x:c>
      <x:c r="E40" s="21" t="n">
        <x:v>1</x:v>
      </x:c>
    </x:row>
    <x:row r="41" ht="48" customHeight="1">
      <x:c r="A41" s="16" t="str">
        <x:v>edu.uclouvain.core.nodus.compute.rules</x:v>
      </x:c>
      <x:c r="B41" s="16" t="str">
        <x:v>src/edu/uclouvain/core/nodus/compute/rules/package-info.java</x:v>
      </x:c>
      <x:c r="C41" s="16" t="str">
        <x:v>NodeRule.isIncluded/isExcluded/isExclusion; NodeRulesReader.loadExclusions</x:v>
      </x:c>
      <x:c r="D41" s="16" t="str">
        <x:v>Added</x:v>
      </x:c>
      <x:c r="E41" s="20" t="n">
        <x:v>2</x:v>
      </x:c>
    </x:row>
    <x:row r="42" ht="48" customHeight="1">
      <x:c r="A42" s="17" t="str">
        <x:v>edu.uclouvain.core.nodus.compute.rules.gui</x:v>
      </x:c>
      <x:c r="B42" s="17" t="str">
        <x:v>src/edu/uclouvain/core/nodus/compute/rules/gui/package-info.java</x:v>
      </x:c>
      <x:c r="C42" s="17" t="str">
        <x:v>NodeRulesDlg; NodeRule matching fields</x:v>
      </x:c>
      <x:c r="D42" s="17" t="str">
        <x:v>Added</x:v>
      </x:c>
      <x:c r="E42" s="21" t="n">
        <x:v>1</x:v>
      </x:c>
    </x:row>
    <x:row r="43" ht="48" customHeight="1">
      <x:c r="A43" s="16" t="str">
        <x:v>edu.uclouvain.core.nodus.compute.scenario</x:v>
      </x:c>
      <x:c r="B43" s="16" t="str">
        <x:v>src/edu/uclouvain/core/nodus/compute/scenario/package-info.java</x:v>
      </x:c>
      <x:c r="C43" s="16" t="str">
        <x:v>Scenarios.compare/sum/remove/rename</x:v>
      </x:c>
      <x:c r="D43" s="16" t="str">
        <x:v>Added</x:v>
      </x:c>
      <x:c r="E43" s="20" t="n">
        <x:v>1</x:v>
      </x:c>
    </x:row>
    <x:row r="44" ht="48" customHeight="1">
      <x:c r="A44" s="17" t="str">
        <x:v>edu.uclouvain.core.nodus.compute.scenario.gui</x:v>
      </x:c>
      <x:c r="B44" s="17" t="str">
        <x:v>src/edu/uclouvain/core/nodus/compute/scenario/gui/package-info.java</x:v>
      </x:c>
      <x:c r="C44" s="17" t="str">
        <x:v>ScenariosDlg action handlers; Scenarios public operations</x:v>
      </x:c>
      <x:c r="D44" s="17" t="str">
        <x:v>Added</x:v>
      </x:c>
      <x:c r="E44" s="21" t="n">
        <x:v>1</x:v>
      </x:c>
    </x:row>
    <x:row r="45" ht="48" customHeight="1">
      <x:c r="A45" s="16" t="str">
        <x:v>edu.uclouvain.core.nodus.compute.virtual</x:v>
      </x:c>
      <x:c r="B45" s="16" t="str">
        <x:v>src/edu/uclouvain/core/nodus/compute/virtual/package-info.java</x:v>
      </x:c>
      <x:c r="C45" s="16" t="str">
        <x:v>VirtualNetwork.generate; VirtualNode/VirtualLink/VirtualNodeList; result writers and PathWriterBuffer</x:v>
      </x:c>
      <x:c r="D45" s="16" t="str">
        <x:v>Added</x:v>
      </x:c>
      <x:c r="E45" s="20" t="n">
        <x:v>8</x:v>
      </x:c>
    </x:row>
    <x:row r="46" ht="48" customHeight="1">
      <x:c r="A46" s="17" t="str">
        <x:v>edu.uclouvain.core.nodus.database</x:v>
      </x:c>
      <x:c r="B46" s="17" t="str">
        <x:v>src/edu/uclouvain/core/nodus/database/package-info.java</x:v>
      </x:c>
      <x:c r="C46" s="17" t="str">
        <x:v>JDBCUtils; JDBCField/JDBCIndex; ProjectFilesTools; ShapeIntegrityTester</x:v>
      </x:c>
      <x:c r="D46" s="17" t="str">
        <x:v>Added</x:v>
      </x:c>
      <x:c r="E46" s="21" t="n">
        <x:v>5</x:v>
      </x:c>
    </x:row>
    <x:row r="47" ht="48" customHeight="1">
      <x:c r="A47" s="16" t="str">
        <x:v>edu.uclouvain.core.nodus.database.csv</x:v>
      </x:c>
      <x:c r="B47" s="16" t="str">
        <x:v>src/edu/uclouvain/core/nodus/database/csv/package-info.java</x:v>
      </x:c>
      <x:c r="C47" s="16" t="str">
        <x:v>ImportCSV.importTable; ExportCSV.exportTable and escaping helper</x:v>
      </x:c>
      <x:c r="D47" s="16" t="str">
        <x:v>Added</x:v>
      </x:c>
      <x:c r="E47" s="20" t="n">
        <x:v>2</x:v>
      </x:c>
    </x:row>
    <x:row r="48" ht="48" customHeight="1">
      <x:c r="A48" s="17" t="str">
        <x:v>edu.uclouvain.core.nodus.database.dbf</x:v>
      </x:c>
      <x:c r="B48" s="17" t="str">
        <x:v>src/edu/uclouvain/core/nodus/database/dbf/package-info.java</x:v>
      </x:c>
      <x:c r="C48" s="17" t="str">
        <x:v>ImportDBF.createTable/importTable; ExportDBF.exportTable overloads</x:v>
      </x:c>
      <x:c r="D48" s="17" t="str">
        <x:v>Added</x:v>
      </x:c>
      <x:c r="E48" s="21" t="n">
        <x:v>2</x:v>
      </x:c>
    </x:row>
    <x:row r="49" ht="48" customHeight="1">
      <x:c r="A49" s="16" t="str">
        <x:v>edu.uclouvain.core.nodus.database.gui</x:v>
      </x:c>
      <x:c r="B49" s="16" t="str">
        <x:v>src/edu/uclouvain/core/nodus/database/gui/package-info.java</x:v>
      </x:c>
      <x:c r="C49" s="16" t="str">
        <x:v>SQLConsole.runBatch; StatDlg; StatPieDlg.setQueryString/displayGUI</x:v>
      </x:c>
      <x:c r="D49" s="16" t="str">
        <x:v>Added</x:v>
      </x:c>
      <x:c r="E49" s="20" t="n">
        <x:v>3</x:v>
      </x:c>
    </x:row>
    <x:row r="50" ht="48" customHeight="1">
      <x:c r="A50" s="17" t="str">
        <x:v>edu.uclouvain.core.nodus.database.sql</x:v>
      </x:c>
      <x:c r="B50" s="17" t="str">
        <x:v>src/edu/uclouvain/core/nodus/database/sql/package-info.java</x:v>
      </x:c>
      <x:c r="C50" s="17" t="str">
        <x:v>NodusSQLTokenMaker; NodusSQLTokenMaker.flex; SQLConsole token-maker registration</x:v>
      </x:c>
      <x:c r="D50" s="17" t="str">
        <x:v>Added</x:v>
      </x:c>
      <x:c r="E50" s="21" t="n">
        <x:v>1</x:v>
      </x:c>
    </x:row>
    <x:row r="51" ht="48" customHeight="1">
      <x:c r="A51" s="16" t="str">
        <x:v>edu.uclouvain.core.nodus.database.xls</x:v>
      </x:c>
      <x:c r="B51" s="16" t="str">
        <x:v>src/edu/uclouvain/core/nodus/database/xls/package-info.java</x:v>
      </x:c>
      <x:c r="C51" s="16" t="str">
        <x:v>ImportXLS.getCreateTableStatement/importTable; ExportXLS.exportTable</x:v>
      </x:c>
      <x:c r="D51" s="16" t="str">
        <x:v>Added</x:v>
      </x:c>
      <x:c r="E51" s="20" t="n">
        <x:v>2</x:v>
      </x:c>
    </x:row>
    <x:row r="52" ht="48" customHeight="1">
      <x:c r="A52" s="17" t="str">
        <x:v>edu.uclouvain.core.nodus.gui</x:v>
      </x:c>
      <x:c r="B52" s="17" t="str">
        <x:v>src/edu/uclouvain/core/nodus/gui/package-info.java</x:v>
      </x:c>
      <x:c r="C52" s="17" t="str">
        <x:v>GlobalPreferencesDlg; ProjectPreferencesDlg; chooser/info dialogs; Splash; GenericPluginConsole</x:v>
      </x:c>
      <x:c r="D52" s="17" t="str">
        <x:v>Added</x:v>
      </x:c>
      <x:c r="E52" s="21" t="n">
        <x:v>9</x:v>
      </x:c>
    </x:row>
    <x:row r="53" ht="48" customHeight="1">
      <x:c r="A53" s="16" t="str">
        <x:v>edu.uclouvain.core.nodus.helpbrowser</x:v>
      </x:c>
      <x:c r="B53" s="16" t="str">
        <x:v>src/edu/uclouvain/core/nodus/helpbrowser/package-info.java</x:v>
      </x:c>
      <x:c r="C53" s="16" t="str">
        <x:v>HelpBrowser.launchBrowser</x:v>
      </x:c>
      <x:c r="D53" s="16" t="str">
        <x:v>Added</x:v>
      </x:c>
      <x:c r="E53" s="20" t="n">
        <x:v>1</x:v>
      </x:c>
    </x:row>
    <x:row r="54" ht="48" customHeight="1">
      <x:c r="A54" s="17" t="str">
        <x:v>edu.uclouvain.core.nodus.services</x:v>
      </x:c>
      <x:c r="B54" s="17" t="str">
        <x:v>src/edu/uclouvain/core/nodus/services/package-info.java</x:v>
      </x:c>
      <x:c r="C54" s="17" t="str">
        <x:v>ServiceHandler; TransportService; ServiceRegistry; ServiceDatabase</x:v>
      </x:c>
      <x:c r="D54" s="17" t="str">
        <x:v>Added</x:v>
      </x:c>
      <x:c r="E54" s="21" t="n">
        <x:v>4</x:v>
      </x:c>
    </x:row>
    <x:row r="55" ht="48" customHeight="1">
      <x:c r="A55" s="16" t="str">
        <x:v>edu.uclouvain.core.nodus.services.gui</x:v>
      </x:c>
      <x:c r="B55" s="16" t="str">
        <x:v>src/edu/uclouvain/core/nodus/services/gui/package-info.java</x:v>
      </x:c>
      <x:c r="C55" s="16" t="str">
        <x:v>ServicesDlg; ServiceHandler editor callbacks</x:v>
      </x:c>
      <x:c r="D55" s="16" t="str">
        <x:v>Added</x:v>
      </x:c>
      <x:c r="E55" s="20" t="n">
        <x:v>1</x:v>
      </x:c>
    </x:row>
    <x:row r="56" ht="48" customHeight="1">
      <x:c r="A56" s="17" t="str">
        <x:v>edu.uclouvain.core.nodus.swing</x:v>
      </x:c>
      <x:c r="B56" s="17" t="str">
        <x:v>src/edu/uclouvain/core/nodus/swing/package-info.java</x:v>
      </x:c>
      <x:c r="C56" s="17" t="str">
        <x:v>EscapeDialog; GUIUtils; GridSwing; TableSorter; SingleInstanceMessagePane; remaining UI helpers</x:v>
      </x:c>
      <x:c r="D56" s="17" t="str">
        <x:v>Added</x:v>
      </x:c>
      <x:c r="E56" s="21" t="n">
        <x:v>8</x:v>
      </x:c>
    </x:row>
    <x:row r="57" ht="48" customHeight="1">
      <x:c r="A57" s="16" t="str">
        <x:v>edu.uclouvain.core.nodus.tools.console</x:v>
      </x:c>
      <x:c r="B57" s="16" t="str">
        <x:v>src/edu/uclouvain/core/nodus/tools/console/package-info.java</x:v>
      </x:c>
      <x:c r="C57" s="16" t="str">
        <x:v>NodusConsole stream redirection, cleanup, clear and saveContent</x:v>
      </x:c>
      <x:c r="D57" s="16" t="str">
        <x:v>Added</x:v>
      </x:c>
      <x:c r="E57" s="20" t="n">
        <x:v>1</x:v>
      </x:c>
    </x:row>
    <x:row r="58" ht="48" customHeight="1">
      <x:c r="A58" s="17" t="str">
        <x:v>edu.uclouvain.core.nodus.tools.notepad</x:v>
      </x:c>
      <x:c r="B58" s="17" t="str">
        <x:v>src/edu/uclouvain/core/nodus/tools/notepad/package-info.java</x:v>
      </x:c>
      <x:c r="C58" s="17" t="str">
        <x:v>NotePad; NotePadActions; Print; NodusGroovyConsole</x:v>
      </x:c>
      <x:c r="D58" s="17" t="str">
        <x:v>Added</x:v>
      </x:c>
      <x:c r="E58" s="21" t="n">
        <x:v>4</x:v>
      </x:c>
    </x:row>
    <x:row r="59" ht="48" customHeight="1">
      <x:c r="A59" s="16" t="str">
        <x:v>edu.uclouvain.core.nodus.utils</x:v>
      </x:c>
      <x:c r="B59" s="16" t="str">
        <x:v>src/edu/uclouvain/core/nodus/utils/package-info.java</x:v>
      </x:c>
      <x:c r="C59" s="16" t="str">
        <x:v>PluginClassPath; plugin loaders; ScriptRunner; ProjectLocker; WorkQueue; file/platform helpers</x:v>
      </x:c>
      <x:c r="D59" s="16" t="str">
        <x:v>Added</x:v>
      </x:c>
      <x:c r="E59" s="20" t="n">
        <x:v>22</x:v>
      </x:c>
    </x:row>
  </x:sheetData>
  <x:pageMargins left="0.7" right="0.7" top="0.75" bottom="0.75" header="0.3" footer="0.3"/>
  <x:tableParts count="1">
    <x:tablePart xmlns:r="http://schemas.openxmlformats.org/officeDocument/2006/relationships" r:id="Rd77f92deb0ac4b6a"/>
  </x:tableParts>
</x:worksheet>
</file>